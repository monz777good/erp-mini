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엑셀파일\"/>
    </mc:Choice>
  </mc:AlternateContent>
  <xr:revisionPtr revIDLastSave="0" documentId="8_{24123CBA-8190-4630-A4AC-9365A48ABCE1}" xr6:coauthVersionLast="47" xr6:coauthVersionMax="47" xr10:uidLastSave="{00000000-0000-0000-0000-000000000000}"/>
  <bookViews>
    <workbookView xWindow="28680" yWindow="-120" windowWidth="29040" windowHeight="15720" xr2:uid="{61756C74-B6EA-46F8-8110-2C590C3C04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7" i="1"/>
  <c r="F28" i="1" s="1"/>
</calcChain>
</file>

<file path=xl/sharedStrings.xml><?xml version="1.0" encoding="utf-8"?>
<sst xmlns="http://schemas.openxmlformats.org/spreadsheetml/2006/main" count="34" uniqueCount="34">
  <si>
    <t>거 래 명 세 서</t>
  </si>
  <si>
    <t>공 급 자</t>
  </si>
  <si>
    <t>상호</t>
  </si>
  <si>
    <t>주식회사 몬즈약품유통</t>
  </si>
  <si>
    <t xml:space="preserve">     2024 년   6월  30일</t>
    <phoneticPr fontId="6" type="noConversion"/>
  </si>
  <si>
    <t>사업자번호</t>
  </si>
  <si>
    <t>560-88-01760</t>
  </si>
  <si>
    <t>대표</t>
  </si>
  <si>
    <t>송 영 준</t>
    <phoneticPr fontId="6" type="noConversion"/>
  </si>
  <si>
    <t xml:space="preserve">                       </t>
  </si>
  <si>
    <t>사업장주소</t>
  </si>
  <si>
    <t>경기도 안산시 단원구 연수원로 64, 310호</t>
    <phoneticPr fontId="6" type="noConversion"/>
  </si>
  <si>
    <t>한의N원외탕전 귀 하</t>
    <phoneticPr fontId="6" type="noConversion"/>
  </si>
  <si>
    <t>업태</t>
  </si>
  <si>
    <t>도소매</t>
  </si>
  <si>
    <t>업종</t>
  </si>
  <si>
    <t>의약품외</t>
  </si>
  <si>
    <t>전화/팩스</t>
  </si>
  <si>
    <t>02-353-7668 /0504-002-1411</t>
    <phoneticPr fontId="6" type="noConversion"/>
  </si>
  <si>
    <t xml:space="preserve">    아래와 같이 계산합니다.</t>
  </si>
  <si>
    <t>입금계좌</t>
    <phoneticPr fontId="6" type="noConversion"/>
  </si>
  <si>
    <t>하나은행 871-910010-06204</t>
    <phoneticPr fontId="6" type="noConversion"/>
  </si>
  <si>
    <t>이메일</t>
  </si>
  <si>
    <t>monz19ph@gmail.com</t>
  </si>
  <si>
    <r>
      <rPr>
        <b/>
        <sz val="12"/>
        <color rgb="FF000000"/>
        <rFont val="맑은 고딕"/>
        <family val="3"/>
        <charset val="129"/>
      </rPr>
      <t>합계금액</t>
    </r>
    <r>
      <rPr>
        <sz val="11"/>
        <color rgb="FF000000"/>
        <rFont val="맑은 고딕"/>
        <family val="3"/>
        <charset val="129"/>
      </rPr>
      <t xml:space="preserve">
</t>
    </r>
    <r>
      <rPr>
        <sz val="8"/>
        <color rgb="FF000000"/>
        <rFont val="맑은 고딕"/>
        <family val="3"/>
        <charset val="129"/>
      </rPr>
      <t>(공급가액+세액)</t>
    </r>
    <phoneticPr fontId="6" type="noConversion"/>
  </si>
  <si>
    <t>No</t>
  </si>
  <si>
    <t xml:space="preserve"> 제 품 명</t>
  </si>
  <si>
    <t>수량</t>
  </si>
  <si>
    <t>단가</t>
  </si>
  <si>
    <t>금 액</t>
  </si>
  <si>
    <t>비  고</t>
  </si>
  <si>
    <t>오토클레이브</t>
    <phoneticPr fontId="6" type="noConversion"/>
  </si>
  <si>
    <t>경남자하거추출물 30ml</t>
    <phoneticPr fontId="6" type="noConversion"/>
  </si>
  <si>
    <t>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</si>
</sst>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[Red]#,##0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35">
    <border>
      <left/>
      <right/>
      <top/>
      <bottom/>
      <diagonal/>
    </border>
    <border diagonalUp="1" diagonalDown="1">
      <left/>
      <right/>
      <top/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/>
      <bottom style="thin">
        <color indexed="64"/>
      </bottom>
      <diagonal/>
    </border>
    <border diagonalUp="1" diagonalDown="1">
      <left style="medium">
        <color indexed="64"/>
      </left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medium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/>
    </border>
    <border diagonalUp="1" diagonalDown="1">
      <left/>
      <right/>
      <top style="thin">
        <color indexed="64"/>
      </top>
      <bottom/>
      <diagonal/>
    </border>
    <border diagonalUp="1" diagonalDown="1"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 diagonalUp="1" diagonalDown="1">
      <left style="thin">
        <color indexed="64"/>
      </left>
      <right/>
      <top/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thick">
        <color indexed="64"/>
      </bottom>
      <diagonal/>
    </border>
    <border diagonalUp="1" diagonalDown="1">
      <left style="thick">
        <color indexed="64"/>
      </left>
      <right/>
      <top style="thick">
        <color indexed="64"/>
      </top>
      <bottom style="thick">
        <color indexed="64"/>
      </bottom>
      <diagonal/>
    </border>
    <border diagonalUp="1" diagonalDown="1">
      <left/>
      <right/>
      <top style="thick">
        <color indexed="64"/>
      </top>
      <bottom style="thick">
        <color indexed="64"/>
      </bottom>
      <diagonal/>
    </border>
    <border diagonalUp="1" diagonalDown="1"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Up="1" diagonalDown="1">
      <left style="medium">
        <color indexed="64"/>
      </left>
      <right/>
      <top style="medium">
        <color indexed="64"/>
      </top>
      <bottom style="medium">
        <color indexed="64"/>
      </bottom>
      <diagonal/>
    </border>
    <border diagonalUp="1" diagonalDown="1"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0" fillId="0" borderId="3" xfId="0" applyBorder="1" applyAlignment="1">
      <alignment vertical="center" textRotation="255"/>
    </xf>
    <xf numFmtId="176" fontId="0" fillId="0" borderId="3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vertical="center" textRotation="255"/>
    </xf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0" xfId="0" applyFont="1">
      <alignment vertical="center"/>
    </xf>
    <xf numFmtId="176" fontId="9" fillId="0" borderId="6" xfId="0" applyNumberFormat="1" applyFont="1" applyBorder="1">
      <alignment vertical="center"/>
    </xf>
    <xf numFmtId="0" fontId="9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1" fillId="0" borderId="0" xfId="0" applyFont="1">
      <alignment vertical="center"/>
    </xf>
    <xf numFmtId="176" fontId="9" fillId="0" borderId="11" xfId="0" applyNumberFormat="1" applyFont="1" applyBorder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176" fontId="0" fillId="0" borderId="16" xfId="0" applyNumberFormat="1" applyBorder="1">
      <alignment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10" fillId="0" borderId="7" xfId="0" applyNumberFormat="1" applyFont="1" applyBorder="1">
      <alignment vertical="center"/>
    </xf>
    <xf numFmtId="0" fontId="10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9" xfId="0" applyBorder="1" applyAlignment="1">
      <alignment vertical="center" textRotation="255"/>
    </xf>
    <xf numFmtId="176" fontId="9" fillId="0" borderId="19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10" xfId="0" applyBorder="1" applyAlignment="1">
      <alignment horizontal="center" vertical="center" shrinkToFit="1"/>
    </xf>
    <xf numFmtId="0" fontId="0" fillId="0" borderId="20" xfId="0" applyBorder="1">
      <alignment vertical="center"/>
    </xf>
    <xf numFmtId="176" fontId="9" fillId="0" borderId="21" xfId="0" applyNumberFormat="1" applyFont="1" applyBorder="1" applyAlignment="1">
      <alignment horizontal="center" vertical="center"/>
    </xf>
    <xf numFmtId="0" fontId="2" fillId="0" borderId="21" xfId="2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5" fillId="2" borderId="24" xfId="0" applyFont="1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/>
    </xf>
    <xf numFmtId="3" fontId="7" fillId="2" borderId="25" xfId="0" applyNumberFormat="1" applyFont="1" applyFill="1" applyBorder="1">
      <alignment vertical="center"/>
    </xf>
    <xf numFmtId="0" fontId="0" fillId="2" borderId="25" xfId="0" applyFill="1" applyBorder="1">
      <alignment vertical="center"/>
    </xf>
    <xf numFmtId="0" fontId="0" fillId="2" borderId="26" xfId="0" applyFill="1" applyBorder="1">
      <alignment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5" fillId="0" borderId="0" xfId="0" applyFont="1">
      <alignment vertical="center"/>
    </xf>
    <xf numFmtId="176" fontId="5" fillId="0" borderId="27" xfId="0" applyNumberFormat="1" applyFont="1" applyBorder="1" applyAlignment="1">
      <alignment horizontal="center" vertical="center"/>
    </xf>
    <xf numFmtId="176" fontId="0" fillId="0" borderId="27" xfId="0" applyNumberFormat="1" applyBorder="1" applyAlignment="1">
      <alignment horizontal="center" vertical="center"/>
    </xf>
    <xf numFmtId="176" fontId="0" fillId="0" borderId="28" xfId="0" applyNumberFormat="1" applyBorder="1" applyAlignment="1">
      <alignment horizontal="center" vertical="center"/>
    </xf>
    <xf numFmtId="14" fontId="9" fillId="0" borderId="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176" fontId="5" fillId="0" borderId="6" xfId="0" applyNumberFormat="1" applyFont="1" applyBorder="1" applyAlignment="1">
      <alignment horizontal="center" vertical="center"/>
    </xf>
    <xf numFmtId="176" fontId="0" fillId="0" borderId="6" xfId="1" applyNumberFormat="1" applyFont="1" applyBorder="1" applyAlignment="1">
      <alignment horizontal="center" vertical="center"/>
    </xf>
    <xf numFmtId="0" fontId="9" fillId="0" borderId="6" xfId="0" applyFont="1" applyBorder="1">
      <alignment vertical="center"/>
    </xf>
    <xf numFmtId="176" fontId="10" fillId="0" borderId="6" xfId="0" applyNumberFormat="1" applyFont="1" applyBorder="1" applyAlignment="1">
      <alignment horizontal="center" vertical="center"/>
    </xf>
    <xf numFmtId="176" fontId="0" fillId="0" borderId="6" xfId="1" applyNumberFormat="1" applyFont="1" applyBorder="1">
      <alignment vertical="center"/>
    </xf>
    <xf numFmtId="0" fontId="0" fillId="0" borderId="6" xfId="0" applyBorder="1">
      <alignment vertical="center"/>
    </xf>
    <xf numFmtId="41" fontId="0" fillId="0" borderId="6" xfId="1" applyFont="1" applyBorder="1">
      <alignment vertical="center"/>
    </xf>
    <xf numFmtId="0" fontId="0" fillId="0" borderId="8" xfId="0" applyBorder="1">
      <alignment vertical="center"/>
    </xf>
    <xf numFmtId="0" fontId="0" fillId="0" borderId="29" xfId="0" applyBorder="1">
      <alignment vertical="center"/>
    </xf>
    <xf numFmtId="0" fontId="10" fillId="0" borderId="3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shrinkToFit="1"/>
    </xf>
    <xf numFmtId="0" fontId="0" fillId="0" borderId="33" xfId="0" applyBorder="1" applyAlignment="1">
      <alignment horizontal="center" vertical="center" shrinkToFit="1"/>
    </xf>
    <xf numFmtId="0" fontId="0" fillId="0" borderId="34" xfId="0" applyBorder="1">
      <alignment vertical="center"/>
    </xf>
    <xf numFmtId="176" fontId="0" fillId="0" borderId="34" xfId="0" applyNumberFormat="1" applyBorder="1">
      <alignment vertical="center"/>
    </xf>
    <xf numFmtId="41" fontId="0" fillId="0" borderId="34" xfId="1" applyFont="1" applyBorder="1">
      <alignment vertical="center"/>
    </xf>
    <xf numFmtId="176" fontId="0" fillId="0" borderId="33" xfId="0" applyNumberFormat="1" applyBorder="1">
      <alignment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228600</xdr:colOff>
      <xdr:row>5</xdr:row>
      <xdr:rowOff>79591</xdr:rowOff>
    </xdr:from>
    <xdr:to>
      <xdr:col>7</xdr:col>
      <xdr:colOff>605044</xdr:colOff>
      <xdr:row>7</xdr:row>
      <xdr:rowOff>86968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1E05914-87F8-464E-889C-7135EB34C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1270216"/>
          <a:ext cx="376444" cy="416952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18</xdr:row>
      <xdr:rowOff>76200</xdr:rowOff>
    </xdr:from>
    <xdr:to>
      <xdr:col>7</xdr:col>
      <xdr:colOff>666750</xdr:colOff>
      <xdr:row>26</xdr:row>
      <xdr:rowOff>133350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3F0622FE-6673-4210-9FBE-5D2C8E4F8549}"/>
            </a:ext>
          </a:extLst>
        </xdr:cNvPr>
        <xdr:cNvCxnSpPr/>
      </xdr:nvCxnSpPr>
      <xdr:spPr>
        <a:xfrm>
          <a:off x="1514475" y="4362450"/>
          <a:ext cx="5686425" cy="1733550"/>
        </a:xfrm>
        <a:prstGeom prst="line">
          <a:avLst/>
        </a:prstGeom>
        <a:noFill/>
        <a:ln w="6350" cap="flat" cmpd="sng" algn="ctr">
          <a:solidFill>
            <a:srgbClr val="4472C4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onz19p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55B3-1E3B-421F-9AEF-DD20E96B21C5}">
  <dimension ref="A1:H28"/>
  <sheetViews>
    <sheetView tabSelected="1" workbookViewId="0">
      <selection activeCell="R15" sqref="R15"/>
    </sheetView>
  </sheetViews>
  <sheetFormatPr defaultRowHeight="16.5" x14ac:dyDescent="0.3"/>
  <cols>
    <col min="3" max="3" width="28.625" customWidth="1"/>
    <col min="5" max="5" width="9.25" bestFit="1" customWidth="1"/>
    <col min="6" max="6" width="11.875" bestFit="1" customWidth="1"/>
    <col min="8" max="8" width="9.625" style="1" customWidth="1"/>
  </cols>
  <sheetData>
    <row r="1" spans="1:8" x14ac:dyDescent="0.3">
      <c r="E1" s="1"/>
    </row>
    <row r="2" spans="1:8" ht="26.25" x14ac:dyDescent="0.3">
      <c r="B2" s="2" t="s">
        <v>0</v>
      </c>
      <c r="C2" s="2"/>
      <c r="D2" s="2"/>
      <c r="E2" s="2"/>
      <c r="F2" s="2"/>
      <c r="G2" s="2"/>
      <c r="H2" s="2"/>
    </row>
    <row r="3" spans="1:8" ht="17.25" thickBot="1" x14ac:dyDescent="0.35">
      <c r="C3" s="3"/>
      <c r="D3" s="3"/>
      <c r="E3" s="4"/>
      <c r="F3" s="3"/>
      <c r="G3" s="3"/>
      <c r="H3" s="4"/>
    </row>
    <row r="4" spans="1:8" x14ac:dyDescent="0.3">
      <c r="B4" s="5"/>
      <c r="C4" s="6"/>
      <c r="D4" s="7" t="s">
        <v>1</v>
      </c>
      <c r="E4" s="8" t="s">
        <v>2</v>
      </c>
      <c r="F4" s="9" t="s">
        <v>3</v>
      </c>
      <c r="G4" s="10"/>
      <c r="H4" s="11"/>
    </row>
    <row r="5" spans="1:8" x14ac:dyDescent="0.3">
      <c r="B5" s="12"/>
      <c r="D5" s="13"/>
      <c r="E5" s="14"/>
      <c r="F5" s="15"/>
      <c r="G5" s="15"/>
      <c r="H5" s="16"/>
    </row>
    <row r="6" spans="1:8" ht="17.25" x14ac:dyDescent="0.3">
      <c r="B6" s="12"/>
      <c r="C6" s="17" t="s">
        <v>4</v>
      </c>
      <c r="D6" s="13"/>
      <c r="E6" s="18" t="s">
        <v>5</v>
      </c>
      <c r="F6" s="19" t="s">
        <v>6</v>
      </c>
      <c r="G6" s="20"/>
      <c r="H6" s="21"/>
    </row>
    <row r="7" spans="1:8" x14ac:dyDescent="0.3">
      <c r="B7" s="12"/>
      <c r="D7" s="13"/>
      <c r="E7" s="22" t="s">
        <v>7</v>
      </c>
      <c r="F7" s="19" t="s">
        <v>8</v>
      </c>
      <c r="G7" s="23"/>
      <c r="H7" s="24"/>
    </row>
    <row r="8" spans="1:8" ht="20.25" x14ac:dyDescent="0.3">
      <c r="B8" s="12"/>
      <c r="C8" s="25" t="s">
        <v>9</v>
      </c>
      <c r="D8" s="13"/>
      <c r="E8" s="26" t="s">
        <v>10</v>
      </c>
      <c r="F8" s="27" t="s">
        <v>11</v>
      </c>
      <c r="G8" s="28"/>
      <c r="H8" s="29"/>
    </row>
    <row r="9" spans="1:8" ht="17.25" x14ac:dyDescent="0.3">
      <c r="A9" s="30"/>
      <c r="B9" s="31"/>
      <c r="C9" s="17" t="s">
        <v>12</v>
      </c>
      <c r="D9" s="13"/>
      <c r="E9" s="32"/>
      <c r="F9" s="33"/>
      <c r="G9" s="34"/>
      <c r="H9" s="35"/>
    </row>
    <row r="10" spans="1:8" x14ac:dyDescent="0.3">
      <c r="A10" s="30"/>
      <c r="B10" s="31"/>
      <c r="D10" s="13"/>
      <c r="E10" s="36" t="s">
        <v>13</v>
      </c>
      <c r="F10" s="37" t="s">
        <v>14</v>
      </c>
      <c r="G10" s="38" t="s">
        <v>15</v>
      </c>
      <c r="H10" s="39" t="s">
        <v>16</v>
      </c>
    </row>
    <row r="11" spans="1:8" x14ac:dyDescent="0.3">
      <c r="A11" s="30"/>
      <c r="B11" s="31"/>
      <c r="D11" s="13"/>
      <c r="E11" s="18" t="s">
        <v>17</v>
      </c>
      <c r="F11" s="40" t="s">
        <v>18</v>
      </c>
      <c r="G11" s="41"/>
      <c r="H11" s="42"/>
    </row>
    <row r="12" spans="1:8" x14ac:dyDescent="0.3">
      <c r="A12" s="30"/>
      <c r="B12" s="31" t="s">
        <v>19</v>
      </c>
      <c r="D12" s="43"/>
      <c r="E12" s="44" t="s">
        <v>20</v>
      </c>
      <c r="F12" s="45" t="s">
        <v>21</v>
      </c>
      <c r="G12" s="46"/>
      <c r="H12" s="47"/>
    </row>
    <row r="13" spans="1:8" ht="17.25" thickBot="1" x14ac:dyDescent="0.35">
      <c r="A13" s="30"/>
      <c r="B13" s="48"/>
      <c r="D13" s="43"/>
      <c r="E13" s="49" t="s">
        <v>22</v>
      </c>
      <c r="F13" s="50" t="s">
        <v>23</v>
      </c>
      <c r="G13" s="51"/>
      <c r="H13" s="52"/>
    </row>
    <row r="14" spans="1:8" ht="17.25" thickBot="1" x14ac:dyDescent="0.35">
      <c r="B14" s="53"/>
      <c r="C14" s="53"/>
      <c r="D14" s="53"/>
      <c r="E14" s="1"/>
    </row>
    <row r="15" spans="1:8" ht="18" thickTop="1" thickBot="1" x14ac:dyDescent="0.35">
      <c r="B15" s="54" t="s">
        <v>24</v>
      </c>
      <c r="C15" s="55"/>
      <c r="D15" s="56">
        <v>10339210</v>
      </c>
      <c r="E15" s="57"/>
      <c r="F15" s="57"/>
      <c r="G15" s="57"/>
      <c r="H15" s="58"/>
    </row>
    <row r="16" spans="1:8" ht="17.25" thickTop="1" x14ac:dyDescent="0.3">
      <c r="B16" s="59" t="s">
        <v>25</v>
      </c>
      <c r="C16" s="59" t="s">
        <v>26</v>
      </c>
      <c r="D16" s="60" t="s">
        <v>27</v>
      </c>
      <c r="E16" s="60" t="s">
        <v>28</v>
      </c>
      <c r="F16" s="60" t="s">
        <v>29</v>
      </c>
      <c r="G16" s="10" t="s">
        <v>30</v>
      </c>
      <c r="H16" s="10"/>
    </row>
    <row r="17" spans="2:8" x14ac:dyDescent="0.3">
      <c r="B17" s="38">
        <v>1</v>
      </c>
      <c r="C17" s="61" t="s">
        <v>31</v>
      </c>
      <c r="D17" s="62">
        <v>1</v>
      </c>
      <c r="E17" s="63">
        <v>3079210</v>
      </c>
      <c r="F17" s="64">
        <f>D17*E17</f>
        <v>3079210</v>
      </c>
      <c r="G17" s="65"/>
      <c r="H17" s="66"/>
    </row>
    <row r="18" spans="2:8" x14ac:dyDescent="0.3">
      <c r="B18" s="38">
        <v>2</v>
      </c>
      <c r="C18" s="67" t="s">
        <v>32</v>
      </c>
      <c r="D18" s="68">
        <v>550</v>
      </c>
      <c r="E18" s="69">
        <v>13200</v>
      </c>
      <c r="F18" s="64">
        <f>D18*E18</f>
        <v>7260000</v>
      </c>
      <c r="G18" s="19"/>
      <c r="H18" s="66"/>
    </row>
    <row r="19" spans="2:8" x14ac:dyDescent="0.3">
      <c r="B19" s="38">
        <v>3</v>
      </c>
      <c r="C19" s="70"/>
      <c r="D19" s="71"/>
      <c r="E19" s="72"/>
      <c r="F19" s="72"/>
      <c r="G19" s="65"/>
      <c r="H19" s="66"/>
    </row>
    <row r="20" spans="2:8" x14ac:dyDescent="0.3">
      <c r="B20" s="38">
        <v>4</v>
      </c>
      <c r="C20" s="73"/>
      <c r="D20" s="37"/>
      <c r="E20" s="72"/>
      <c r="F20" s="74"/>
      <c r="G20" s="75"/>
      <c r="H20" s="76"/>
    </row>
    <row r="21" spans="2:8" x14ac:dyDescent="0.3">
      <c r="B21" s="38">
        <v>5</v>
      </c>
      <c r="C21" s="73"/>
      <c r="D21" s="37"/>
      <c r="E21" s="72"/>
      <c r="F21" s="74"/>
      <c r="G21" s="75"/>
      <c r="H21" s="76"/>
    </row>
    <row r="22" spans="2:8" x14ac:dyDescent="0.3">
      <c r="B22" s="38">
        <v>6</v>
      </c>
      <c r="C22" s="73"/>
      <c r="D22" s="37"/>
      <c r="E22" s="72"/>
      <c r="F22" s="74"/>
      <c r="G22" s="75"/>
      <c r="H22" s="76"/>
    </row>
    <row r="23" spans="2:8" x14ac:dyDescent="0.3">
      <c r="B23" s="38">
        <v>7</v>
      </c>
      <c r="C23" s="73"/>
      <c r="D23" s="37"/>
      <c r="E23" s="72"/>
      <c r="F23" s="74"/>
      <c r="G23" s="75"/>
      <c r="H23" s="76"/>
    </row>
    <row r="24" spans="2:8" x14ac:dyDescent="0.3">
      <c r="B24" s="38">
        <v>8</v>
      </c>
      <c r="C24" s="73"/>
      <c r="D24" s="37"/>
      <c r="E24" s="72"/>
      <c r="F24" s="74"/>
      <c r="G24" s="75"/>
      <c r="H24" s="76"/>
    </row>
    <row r="25" spans="2:8" x14ac:dyDescent="0.3">
      <c r="B25" s="38">
        <v>9</v>
      </c>
      <c r="C25" s="73"/>
      <c r="D25" s="37"/>
      <c r="E25" s="72"/>
      <c r="F25" s="74"/>
      <c r="G25" s="75"/>
      <c r="H25" s="76"/>
    </row>
    <row r="26" spans="2:8" x14ac:dyDescent="0.3">
      <c r="B26" s="38">
        <v>10</v>
      </c>
      <c r="C26" s="73"/>
      <c r="D26" s="37"/>
      <c r="E26" s="72"/>
      <c r="F26" s="74"/>
      <c r="G26" s="75"/>
      <c r="H26" s="76"/>
    </row>
    <row r="27" spans="2:8" ht="17.25" thickBot="1" x14ac:dyDescent="0.35">
      <c r="B27" s="38">
        <v>11</v>
      </c>
      <c r="C27" s="67"/>
      <c r="D27" s="77"/>
      <c r="E27" s="77"/>
      <c r="F27" s="77"/>
      <c r="G27" s="77"/>
      <c r="H27" s="78"/>
    </row>
    <row r="28" spans="2:8" ht="17.25" thickBot="1" x14ac:dyDescent="0.35">
      <c r="B28" s="79" t="s">
        <v>33</v>
      </c>
      <c r="C28" s="80"/>
      <c r="D28" s="81"/>
      <c r="E28" s="82"/>
      <c r="F28" s="83">
        <f>F17+F18</f>
        <v>10339210</v>
      </c>
      <c r="G28" s="81"/>
      <c r="H28" s="84"/>
    </row>
  </sheetData>
  <mergeCells count="26">
    <mergeCell ref="G25:H25"/>
    <mergeCell ref="G26:H26"/>
    <mergeCell ref="D27:H27"/>
    <mergeCell ref="B28:C28"/>
    <mergeCell ref="G19:H19"/>
    <mergeCell ref="G20:H20"/>
    <mergeCell ref="G21:H21"/>
    <mergeCell ref="G22:H22"/>
    <mergeCell ref="G23:H23"/>
    <mergeCell ref="G24:H24"/>
    <mergeCell ref="F13:H13"/>
    <mergeCell ref="B15:C15"/>
    <mergeCell ref="D15:H15"/>
    <mergeCell ref="G16:H16"/>
    <mergeCell ref="G17:H17"/>
    <mergeCell ref="G18:H18"/>
    <mergeCell ref="B2:H2"/>
    <mergeCell ref="D4:D13"/>
    <mergeCell ref="E4:E5"/>
    <mergeCell ref="F4:H5"/>
    <mergeCell ref="F6:H6"/>
    <mergeCell ref="F7:H7"/>
    <mergeCell ref="E8:E9"/>
    <mergeCell ref="F8:H9"/>
    <mergeCell ref="F11:H11"/>
    <mergeCell ref="F12:H12"/>
  </mergeCells>
  <phoneticPr fontId="3" type="noConversion"/>
  <hyperlinks>
    <hyperlink ref="F13" r:id="rId1" xr:uid="{32079047-82E6-41E3-AB4D-24C7763E02E7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2026-02-12T07:32:57Z</dcterms:created>
  <dcterms:modified xsi:type="dcterms:W3CDTF">2026-02-12T07:33:28Z</dcterms:modified>
</cp:coreProperties>
</file>